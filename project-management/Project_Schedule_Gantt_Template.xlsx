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C784AAE-FEDB-4AA8-AC21-D8A5246F44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hedule" sheetId="1" r:id="rId1"/>
  </sheets>
  <calcPr calcId="191029"/>
</workbook>
</file>

<file path=xl/calcChain.xml><?xml version="1.0" encoding="utf-8"?>
<calcChain xmlns="http://schemas.openxmlformats.org/spreadsheetml/2006/main">
  <c r="F20" i="1" l="1"/>
  <c r="F21" i="1"/>
  <c r="F22" i="1"/>
  <c r="F23" i="1"/>
  <c r="F24" i="1"/>
  <c r="F25" i="1"/>
  <c r="F26" i="1"/>
  <c r="F27" i="1"/>
  <c r="F28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<sst xmlns="http://schemas.openxmlformats.org/spreadsheetml/2006/main" count="175" uniqueCount="71">
  <si>
    <t>PROJECT SCHEDULE / GANTT</t>
  </si>
  <si>
    <t>Planeación formal derivada de la WBS. Complete fechas, duración, dependencia y responsable; la zona de Gantt se pinta automáticamente.</t>
  </si>
  <si>
    <t>WBS ID</t>
  </si>
  <si>
    <t>Actividad</t>
  </si>
  <si>
    <t>Responsable</t>
  </si>
  <si>
    <t>Inicio</t>
  </si>
  <si>
    <t>Fin</t>
  </si>
  <si>
    <t>Duración (días)</t>
  </si>
  <si>
    <t>Dependencia</t>
  </si>
  <si>
    <t>Hito</t>
  </si>
  <si>
    <t>Estado</t>
  </si>
  <si>
    <t>No</t>
  </si>
  <si>
    <t>No iniciada</t>
  </si>
  <si>
    <t>1</t>
  </si>
  <si>
    <t>1.1</t>
  </si>
  <si>
    <t>1.1.1</t>
  </si>
  <si>
    <t>1.1.2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</si>
  <si>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</si>
  <si>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</si>
  <si>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</si>
  <si>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</si>
  <si>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</si>
  <si>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</si>
  <si>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</si>
  <si>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</si>
  <si>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</si>
  <si>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</si>
  <si>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</si>
  <si>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</t>
  </si>
  <si>
    <t>1.3.1</t>
  </si>
  <si>
    <t>1.3.2</t>
  </si>
  <si>
    <t>1.3.3</t>
  </si>
  <si>
    <t>1.3.4</t>
  </si>
  <si>
    <t>1.4</t>
  </si>
  <si>
    <t>1.4.1</t>
  </si>
  <si>
    <t>1.4.2</t>
  </si>
  <si>
    <t>1.5</t>
  </si>
  <si>
    <t>Plataforma Web para Hospital</t>
  </si>
  <si>
    <t>Definición y alcance</t>
  </si>
  <si>
    <t>Definir objetivo del sistema</t>
  </si>
  <si>
    <t>Definir usuarios y roles</t>
  </si>
  <si>
    <t>Diseño modular del sistema</t>
  </si>
  <si>
    <t>Gestión de usuarios</t>
  </si>
  <si>
    <t>Gestión de citas médicas</t>
  </si>
  <si>
    <t>Consultas virtuales</t>
  </si>
  <si>
    <t>Administrativo</t>
  </si>
  <si>
    <t>Nutrición inteligente</t>
  </si>
  <si>
    <t>Seguimiento de salud</t>
  </si>
  <si>
    <t>Inteligencia Artificial / Asistente Virtual</t>
  </si>
  <si>
    <t>Seguridad</t>
  </si>
  <si>
    <t>Pagos y facturación</t>
  </si>
  <si>
    <t>Recetas médicas electrónicas</t>
  </si>
  <si>
    <t>Desarrollo de módulos</t>
  </si>
  <si>
    <t>Implementar Gestión de usuarios</t>
  </si>
  <si>
    <t>Implementar Gestión de citas</t>
  </si>
  <si>
    <t>Implementar Consultas virtuales</t>
  </si>
  <si>
    <t>Implementar módulos 4-10</t>
  </si>
  <si>
    <t>Integración y pruebas</t>
  </si>
  <si>
    <t>Integrar módulos</t>
  </si>
  <si>
    <t>Realizar pruebas</t>
  </si>
  <si>
    <t>Documentación y entrega</t>
  </si>
  <si>
    <t>Perez Perez Rafael</t>
  </si>
  <si>
    <t>Hernández López Jose Fernando</t>
  </si>
  <si>
    <t>Cedillo Orozco Alvaro Fabian</t>
  </si>
  <si>
    <t>Ramos Sanchez Gildardo Enrique</t>
  </si>
  <si>
    <t>Romero Rayas Andrew Alexis</t>
  </si>
  <si>
    <t>-</t>
  </si>
  <si>
    <t>Si</t>
  </si>
  <si>
    <t>En progreso</t>
  </si>
  <si>
    <t>Completada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</si>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</sst>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"/>
  </numFmts>
  <fonts count="4">
    <font>
      <sz val="11"/>
      <name val="Carlito"/>
    </font>
    <font>
      <b/>
      <sz val="16"/>
      <color rgb="FFFFFFFF"/>
      <name val="Carlito"/>
    </font>
    <font>
      <sz val="10"/>
      <color rgb="FF38556F"/>
      <name val="Carlito"/>
    </font>
    <font>
      <b/>
      <sz val="10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C2848"/>
      </patternFill>
    </fill>
    <fill>
      <patternFill patternType="solid">
        <fgColor rgb="FFEEF6FD"/>
      </patternFill>
    </fill>
    <fill>
      <patternFill patternType="solid">
        <fgColor rgb="FF2778C9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4" borderId="0" xfId="0" applyFont="1" applyFill="1" applyAlignment="1">
      <alignment horizontal="center" vertical="center" wrapText="1"/>
    </xf>
    <xf numFmtId="165" fontId="3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3">
    <dxf>
      <fill>
        <patternFill patternType="solid">
          <bgColor rgb="FFCFE5F7"/>
        </patternFill>
      </fill>
    </dxf>
    <dxf>
      <alignment horizontal="center" vertical="bottom" textRotation="0" indent="0" justifyLastLine="0" shrinkToFit="0" readingOrder="0"/>
    </dxf>
    <dxf>
      <numFmt numFmtId="164" formatCode="yyyy\-mm\-dd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A6C9E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Table" displayName="ScheduleTable" ref="A4:I28" totalsRowShown="0">
  <tableColumns count="9">
    <tableColumn id="1" xr3:uid="{00000000-0010-0000-0000-000001000000}" name="WBS ID"/>
    <tableColumn id="2" xr3:uid="{00000000-0010-0000-0000-000002000000}" name="Actividad"/>
    <tableColumn id="3" xr3:uid="{00000000-0010-0000-0000-000003000000}" name="Responsable"/>
    <tableColumn id="4" xr3:uid="{00000000-0010-0000-0000-000004000000}" name="Inicio"/>
    <tableColumn id="5" xr3:uid="{00000000-0010-0000-0000-000005000000}" name="Fin" dataDxfId="2"/>
    <tableColumn id="6" xr3:uid="{00000000-0010-0000-0000-000006000000}" name="Duración (días)"/>
    <tableColumn id="7" xr3:uid="{00000000-0010-0000-0000-000007000000}" name="Dependencia" dataDxfId="1"/>
    <tableColumn id="8" xr3:uid="{00000000-0010-0000-0000-000008000000}" name="Hito"/>
    <tableColumn id="9" xr3:uid="{00000000-0010-0000-0000-000009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topLeftCell="E1" zoomScale="85" zoomScaleNormal="85" workbookViewId="0">
      <selection activeCell="N16" sqref="N16"/>
    </sheetView>
  </sheetViews>
  <sheetFormatPr baseColWidth="10" defaultColWidth="8.796875" defaultRowHeight="13.8"/>
  <cols>
    <col min="1" max="1" width="11" customWidth="1"/>
    <col min="2" max="2" width="30" customWidth="1"/>
    <col min="3" max="3" width="34.296875" bestFit="1" customWidth="1"/>
    <col min="4" max="6" width="13" customWidth="1"/>
    <col min="7" max="7" width="15" customWidth="1"/>
    <col min="8" max="8" width="10" customWidth="1"/>
    <col min="9" max="9" width="16" customWidth="1"/>
    <col min="11" max="22" width="11" customWidth="1"/>
  </cols>
  <sheetData>
    <row r="1" spans="1:22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22.3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4" spans="1:22" ht="22.3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3">
        <v>46265</v>
      </c>
      <c r="L4" s="3">
        <v>46272</v>
      </c>
      <c r="M4" s="3">
        <v>46279</v>
      </c>
      <c r="N4" s="3">
        <v>46286</v>
      </c>
      <c r="O4" s="3">
        <v>46293</v>
      </c>
      <c r="P4" s="3">
        <v>46300</v>
      </c>
      <c r="Q4" s="3">
        <v>46307</v>
      </c>
      <c r="R4" s="3">
        <v>46314</v>
      </c>
      <c r="S4" s="3">
        <v>46321</v>
      </c>
      <c r="T4" s="3">
        <v>46328</v>
      </c>
      <c r="U4" s="3">
        <v>46335</v>
      </c>
      <c r="V4" s="3">
        <v>46342</v>
      </c>
    </row>
    <row r="5" spans="1:22">
      <c r="A5" s="4" t="s">
        <v>13</v>
      </c>
      <c r="B5" s="4" t="s">
        <v>37</v>
      </c>
      <c r="C5" t="s">
        <v>62</v>
      </c>
      <c r="D5" s="5">
        <v>46265</v>
      </c>
      <c r="E5" s="5">
        <v>46346</v>
      </c>
      <c r="F5" s="4">
        <f t="shared" ref="F5:F28" si="0">E5-D5+1</f>
        <v>82</v>
      </c>
      <c r="G5" s="8" t="s">
        <v>66</v>
      </c>
      <c r="H5" s="4" t="s">
        <v>67</v>
      </c>
      <c r="I5" s="4" t="s">
        <v>68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2">
        <v>1</v>
      </c>
    </row>
    <row r="6" spans="1:22">
      <c r="A6" s="4" t="s">
        <v>14</v>
      </c>
      <c r="B6" s="4" t="s">
        <v>38</v>
      </c>
      <c r="C6" t="s">
        <v>61</v>
      </c>
      <c r="D6" s="5">
        <v>46265</v>
      </c>
      <c r="E6" s="5">
        <v>46269</v>
      </c>
      <c r="F6" s="4">
        <f t="shared" si="0"/>
        <v>5</v>
      </c>
      <c r="G6" s="8" t="s">
        <v>66</v>
      </c>
      <c r="H6" s="4" t="s">
        <v>67</v>
      </c>
      <c r="I6" s="4" t="s">
        <v>69</v>
      </c>
      <c r="K6" s="1">
        <v>1.1000000000000001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4" t="s">
        <v>15</v>
      </c>
      <c r="B7" s="4" t="s">
        <v>39</v>
      </c>
      <c r="C7" t="s">
        <v>62</v>
      </c>
      <c r="D7" s="5">
        <v>46265</v>
      </c>
      <c r="E7" s="5">
        <v>46267</v>
      </c>
      <c r="F7" s="4">
        <f t="shared" si="0"/>
        <v>3</v>
      </c>
      <c r="G7" s="8" t="s">
        <v>66</v>
      </c>
      <c r="H7" s="4" t="s">
        <v>11</v>
      </c>
      <c r="I7" s="4" t="s">
        <v>69</v>
      </c>
      <c r="K7" s="1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4" t="s">
        <v>16</v>
      </c>
      <c r="B8" s="4" t="s">
        <v>40</v>
      </c>
      <c r="C8" s="4" t="s">
        <v>61</v>
      </c>
      <c r="D8" s="5">
        <v>46268</v>
      </c>
      <c r="E8" s="5">
        <v>46269</v>
      </c>
      <c r="F8" s="4">
        <f t="shared" si="0"/>
        <v>2</v>
      </c>
      <c r="G8" s="8" t="s">
        <v>15</v>
      </c>
      <c r="H8" s="4" t="s">
        <v>11</v>
      </c>
      <c r="I8" s="4" t="s">
        <v>69</v>
      </c>
      <c r="K8" s="1" t="s">
        <v>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4" t="s">
        <v>17</v>
      </c>
      <c r="B9" s="4" t="s">
        <v>41</v>
      </c>
      <c r="C9" t="s">
        <v>62</v>
      </c>
      <c r="D9" s="5">
        <v>46272</v>
      </c>
      <c r="E9" s="5">
        <v>46290</v>
      </c>
      <c r="F9" s="4">
        <f t="shared" si="0"/>
        <v>19</v>
      </c>
      <c r="G9" s="8">
        <v>1.1000000000000001</v>
      </c>
      <c r="H9" s="4" t="s">
        <v>11</v>
      </c>
      <c r="I9" s="4" t="s">
        <v>69</v>
      </c>
      <c r="K9" s="1"/>
      <c r="L9" s="1">
        <v>1.2</v>
      </c>
      <c r="M9" s="1">
        <v>1.2</v>
      </c>
      <c r="N9" s="1">
        <v>1.2</v>
      </c>
      <c r="O9" s="1"/>
      <c r="P9" s="1"/>
      <c r="Q9" s="1"/>
      <c r="R9" s="1"/>
      <c r="S9" s="1"/>
      <c r="T9" s="1"/>
      <c r="U9" s="1"/>
      <c r="V9" s="1"/>
    </row>
    <row r="10" spans="1:22">
      <c r="A10" s="4" t="s">
        <v>18</v>
      </c>
      <c r="B10" s="4" t="s">
        <v>42</v>
      </c>
      <c r="C10" s="4" t="s">
        <v>63</v>
      </c>
      <c r="D10" s="5">
        <v>46272</v>
      </c>
      <c r="E10" s="5">
        <v>46274</v>
      </c>
      <c r="F10" s="4">
        <f t="shared" si="0"/>
        <v>3</v>
      </c>
      <c r="G10" s="8" t="s">
        <v>16</v>
      </c>
      <c r="H10" s="4" t="s">
        <v>67</v>
      </c>
      <c r="I10" s="4" t="s">
        <v>69</v>
      </c>
      <c r="K10" s="1"/>
      <c r="L10" s="1" t="s">
        <v>18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4" t="s">
        <v>19</v>
      </c>
      <c r="B11" s="4" t="s">
        <v>43</v>
      </c>
      <c r="C11" t="s">
        <v>63</v>
      </c>
      <c r="D11" s="5">
        <v>46273</v>
      </c>
      <c r="E11" s="5">
        <v>46275</v>
      </c>
      <c r="F11" s="4">
        <f t="shared" si="0"/>
        <v>3</v>
      </c>
      <c r="G11" s="8" t="s">
        <v>16</v>
      </c>
      <c r="H11" s="4" t="s">
        <v>11</v>
      </c>
      <c r="I11" s="4" t="s">
        <v>69</v>
      </c>
      <c r="K11" s="1"/>
      <c r="L11" s="1" t="s">
        <v>19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4" t="s">
        <v>20</v>
      </c>
      <c r="B12" s="4" t="s">
        <v>44</v>
      </c>
      <c r="C12" t="s">
        <v>63</v>
      </c>
      <c r="D12" s="5">
        <v>46274</v>
      </c>
      <c r="E12" s="5">
        <v>46276</v>
      </c>
      <c r="F12" s="4">
        <f t="shared" si="0"/>
        <v>3</v>
      </c>
      <c r="G12" s="8" t="s">
        <v>16</v>
      </c>
      <c r="H12" s="4" t="s">
        <v>11</v>
      </c>
      <c r="I12" s="4" t="s">
        <v>69</v>
      </c>
      <c r="K12" s="1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4" t="s">
        <v>21</v>
      </c>
      <c r="B13" s="4" t="s">
        <v>45</v>
      </c>
      <c r="C13" s="4" t="s">
        <v>63</v>
      </c>
      <c r="D13" s="5">
        <v>46276</v>
      </c>
      <c r="E13" s="5">
        <v>46276</v>
      </c>
      <c r="F13" s="4">
        <f t="shared" si="0"/>
        <v>1</v>
      </c>
      <c r="G13" s="8" t="s">
        <v>16</v>
      </c>
      <c r="H13" s="4" t="s">
        <v>11</v>
      </c>
      <c r="I13" s="4" t="s">
        <v>69</v>
      </c>
      <c r="K13" s="1"/>
      <c r="L13" s="1" t="s">
        <v>21</v>
      </c>
      <c r="M13" s="1" t="s">
        <v>21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4" t="s">
        <v>22</v>
      </c>
      <c r="B14" s="4" t="s">
        <v>46</v>
      </c>
      <c r="C14" t="s">
        <v>63</v>
      </c>
      <c r="D14" s="5">
        <v>46279</v>
      </c>
      <c r="E14" s="5">
        <v>46280</v>
      </c>
      <c r="F14" s="4">
        <f t="shared" si="0"/>
        <v>2</v>
      </c>
      <c r="G14" s="8" t="s">
        <v>16</v>
      </c>
      <c r="H14" s="4" t="s">
        <v>11</v>
      </c>
      <c r="I14" s="4" t="s">
        <v>69</v>
      </c>
      <c r="K14" s="1"/>
      <c r="L14" s="1"/>
      <c r="M14" s="1" t="s">
        <v>22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4" t="s">
        <v>23</v>
      </c>
      <c r="B15" s="4" t="s">
        <v>47</v>
      </c>
      <c r="C15" t="s">
        <v>63</v>
      </c>
      <c r="D15" s="5">
        <v>46280</v>
      </c>
      <c r="E15" s="5">
        <v>46281</v>
      </c>
      <c r="F15" s="4">
        <f t="shared" si="0"/>
        <v>2</v>
      </c>
      <c r="G15" s="8" t="s">
        <v>16</v>
      </c>
      <c r="H15" s="4" t="s">
        <v>11</v>
      </c>
      <c r="I15" s="4" t="s">
        <v>69</v>
      </c>
      <c r="K15" s="1"/>
      <c r="L15" s="1"/>
      <c r="M15" s="1" t="s">
        <v>23</v>
      </c>
      <c r="N15" s="1"/>
      <c r="O15" s="1"/>
      <c r="P15" s="1"/>
      <c r="Q15" s="1"/>
      <c r="R15" s="1"/>
      <c r="S15" s="1"/>
      <c r="T15" s="1"/>
      <c r="U15" s="1"/>
      <c r="V15" s="1"/>
    </row>
    <row r="16" spans="1:22" ht="27.6">
      <c r="A16" s="4" t="s">
        <v>24</v>
      </c>
      <c r="B16" s="4" t="s">
        <v>48</v>
      </c>
      <c r="C16" t="s">
        <v>63</v>
      </c>
      <c r="D16" s="5">
        <v>46281</v>
      </c>
      <c r="E16" s="5">
        <v>46283</v>
      </c>
      <c r="F16" s="4">
        <f t="shared" si="0"/>
        <v>3</v>
      </c>
      <c r="G16" s="8" t="s">
        <v>16</v>
      </c>
      <c r="H16" s="4" t="s">
        <v>11</v>
      </c>
      <c r="I16" s="4" t="s">
        <v>69</v>
      </c>
      <c r="K16" s="1"/>
      <c r="L16" s="1"/>
      <c r="M16" s="1" t="s">
        <v>24</v>
      </c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4" t="s">
        <v>25</v>
      </c>
      <c r="B17" s="4" t="s">
        <v>49</v>
      </c>
      <c r="C17" s="4" t="s">
        <v>62</v>
      </c>
      <c r="D17" s="5">
        <v>46283</v>
      </c>
      <c r="E17" s="5">
        <v>46287</v>
      </c>
      <c r="F17" s="4">
        <f t="shared" si="0"/>
        <v>5</v>
      </c>
      <c r="G17" s="8" t="s">
        <v>16</v>
      </c>
      <c r="H17" s="4" t="s">
        <v>11</v>
      </c>
      <c r="I17" s="4" t="s">
        <v>69</v>
      </c>
      <c r="K17" s="1"/>
      <c r="L17" s="1"/>
      <c r="M17" s="1" t="s">
        <v>25</v>
      </c>
      <c r="N17" s="11" t="s">
        <v>25</v>
      </c>
      <c r="O17" s="1"/>
      <c r="P17" s="1"/>
      <c r="Q17" s="1"/>
      <c r="R17" s="1"/>
      <c r="S17" s="1"/>
      <c r="T17" s="1"/>
      <c r="U17" s="1"/>
      <c r="V17" s="1"/>
    </row>
    <row r="18" spans="1:22">
      <c r="A18" s="4" t="s">
        <v>26</v>
      </c>
      <c r="B18" s="4" t="s">
        <v>50</v>
      </c>
      <c r="C18" t="s">
        <v>63</v>
      </c>
      <c r="D18" s="5">
        <v>46286</v>
      </c>
      <c r="E18" s="5">
        <v>46288</v>
      </c>
      <c r="F18" s="4">
        <f t="shared" si="0"/>
        <v>3</v>
      </c>
      <c r="G18" s="8" t="s">
        <v>16</v>
      </c>
      <c r="H18" s="4" t="s">
        <v>11</v>
      </c>
      <c r="I18" s="4" t="s">
        <v>69</v>
      </c>
      <c r="K18" s="1"/>
      <c r="L18" s="1"/>
      <c r="M18" s="1"/>
      <c r="N18" s="11" t="s">
        <v>26</v>
      </c>
      <c r="O18" s="1"/>
      <c r="P18" s="1"/>
      <c r="Q18" s="1"/>
      <c r="R18" s="1"/>
      <c r="S18" s="1"/>
      <c r="T18" s="1"/>
      <c r="U18" s="1"/>
      <c r="V18" s="1"/>
    </row>
    <row r="19" spans="1:22">
      <c r="A19" s="4" t="s">
        <v>27</v>
      </c>
      <c r="B19" s="4" t="s">
        <v>51</v>
      </c>
      <c r="C19" t="s">
        <v>63</v>
      </c>
      <c r="D19" s="5">
        <v>46287</v>
      </c>
      <c r="E19" s="5">
        <v>46290</v>
      </c>
      <c r="F19" s="4">
        <f t="shared" si="0"/>
        <v>4</v>
      </c>
      <c r="G19" s="8" t="s">
        <v>16</v>
      </c>
      <c r="H19" s="4" t="s">
        <v>11</v>
      </c>
      <c r="I19" s="4" t="s">
        <v>69</v>
      </c>
      <c r="K19" s="1"/>
      <c r="L19" s="1"/>
      <c r="M19" s="1"/>
      <c r="N19" s="11" t="s">
        <v>27</v>
      </c>
      <c r="O19" s="1"/>
      <c r="P19" s="1"/>
      <c r="Q19" s="1"/>
      <c r="R19" s="1"/>
      <c r="S19" s="1"/>
      <c r="T19" s="1"/>
      <c r="U19" s="1"/>
      <c r="V19" s="1"/>
    </row>
    <row r="20" spans="1:22">
      <c r="A20" t="s">
        <v>28</v>
      </c>
      <c r="B20" t="s">
        <v>52</v>
      </c>
      <c r="C20" t="s">
        <v>63</v>
      </c>
      <c r="D20" s="5">
        <v>46293</v>
      </c>
      <c r="E20" s="5">
        <v>46295</v>
      </c>
      <c r="F20" s="4">
        <f t="shared" si="0"/>
        <v>3</v>
      </c>
      <c r="G20" s="9">
        <v>1.2</v>
      </c>
      <c r="H20" t="s">
        <v>67</v>
      </c>
      <c r="I20" t="s">
        <v>68</v>
      </c>
      <c r="K20" s="1"/>
      <c r="L20" s="1"/>
      <c r="M20" s="1"/>
      <c r="N20" s="1"/>
      <c r="O20" s="10">
        <v>1.3</v>
      </c>
      <c r="P20" s="10">
        <v>1.3</v>
      </c>
      <c r="Q20" s="10">
        <v>1.3</v>
      </c>
      <c r="R20" s="10">
        <v>1.3</v>
      </c>
      <c r="S20" s="10">
        <v>1.3</v>
      </c>
      <c r="T20" s="1"/>
      <c r="U20" s="1"/>
      <c r="V20" s="1"/>
    </row>
    <row r="21" spans="1:22">
      <c r="A21" t="s">
        <v>70</v>
      </c>
      <c r="B21" t="s">
        <v>53</v>
      </c>
      <c r="C21" t="s">
        <v>63</v>
      </c>
      <c r="D21" s="5">
        <v>46293</v>
      </c>
      <c r="E21" s="5">
        <v>46297</v>
      </c>
      <c r="F21" s="4">
        <f t="shared" si="0"/>
        <v>5</v>
      </c>
      <c r="G21" s="9" t="s">
        <v>18</v>
      </c>
      <c r="H21" t="s">
        <v>11</v>
      </c>
      <c r="I21" t="s">
        <v>68</v>
      </c>
      <c r="K21" s="1"/>
      <c r="L21" s="1"/>
      <c r="M21" s="1"/>
      <c r="N21" s="1"/>
      <c r="O21" s="10" t="s">
        <v>29</v>
      </c>
      <c r="P21" s="1"/>
      <c r="Q21" s="1"/>
      <c r="R21" s="1"/>
      <c r="S21" s="1"/>
      <c r="T21" s="1"/>
      <c r="U21" s="1"/>
      <c r="V21" s="1"/>
    </row>
    <row r="22" spans="1:22">
      <c r="A22" t="s">
        <v>30</v>
      </c>
      <c r="B22" t="s">
        <v>54</v>
      </c>
      <c r="C22" t="s">
        <v>63</v>
      </c>
      <c r="D22" s="5">
        <v>46300</v>
      </c>
      <c r="E22" s="5">
        <v>46307</v>
      </c>
      <c r="F22" s="4">
        <f t="shared" si="0"/>
        <v>8</v>
      </c>
      <c r="G22" s="9" t="s">
        <v>19</v>
      </c>
      <c r="H22" t="s">
        <v>11</v>
      </c>
      <c r="I22" s="4" t="s">
        <v>12</v>
      </c>
      <c r="K22" s="1"/>
      <c r="L22" s="1"/>
      <c r="M22" s="1"/>
      <c r="N22" s="1"/>
      <c r="O22" s="1"/>
      <c r="P22" s="10" t="s">
        <v>30</v>
      </c>
      <c r="Q22" s="10" t="s">
        <v>30</v>
      </c>
      <c r="R22" s="1"/>
      <c r="S22" s="1"/>
      <c r="T22" s="1"/>
      <c r="U22" s="1"/>
      <c r="V22" s="1"/>
    </row>
    <row r="23" spans="1:22">
      <c r="A23" t="s">
        <v>31</v>
      </c>
      <c r="B23" t="s">
        <v>55</v>
      </c>
      <c r="C23" t="s">
        <v>63</v>
      </c>
      <c r="D23" s="5">
        <v>46307</v>
      </c>
      <c r="E23" s="5">
        <v>46314</v>
      </c>
      <c r="F23" s="4">
        <f t="shared" si="0"/>
        <v>8</v>
      </c>
      <c r="G23" s="9" t="s">
        <v>20</v>
      </c>
      <c r="H23" t="s">
        <v>11</v>
      </c>
      <c r="I23" s="4" t="s">
        <v>12</v>
      </c>
      <c r="K23" s="1"/>
      <c r="L23" s="1"/>
      <c r="M23" s="1"/>
      <c r="N23" s="1"/>
      <c r="O23" s="1"/>
      <c r="P23" s="1"/>
      <c r="Q23" s="10" t="s">
        <v>31</v>
      </c>
      <c r="R23" s="10" t="s">
        <v>31</v>
      </c>
      <c r="S23" s="1"/>
      <c r="T23" s="1"/>
      <c r="U23" s="1"/>
      <c r="V23" s="1"/>
    </row>
    <row r="24" spans="1:22">
      <c r="A24" t="s">
        <v>32</v>
      </c>
      <c r="B24" t="s">
        <v>56</v>
      </c>
      <c r="C24" t="s">
        <v>64</v>
      </c>
      <c r="D24" s="5">
        <v>46314</v>
      </c>
      <c r="E24" s="5">
        <v>46325</v>
      </c>
      <c r="F24" s="4">
        <f t="shared" si="0"/>
        <v>12</v>
      </c>
      <c r="G24" s="9" t="s">
        <v>27</v>
      </c>
      <c r="H24" t="s">
        <v>11</v>
      </c>
      <c r="I24" s="4" t="s">
        <v>12</v>
      </c>
      <c r="K24" s="1"/>
      <c r="L24" s="1"/>
      <c r="M24" s="1"/>
      <c r="N24" s="1"/>
      <c r="O24" s="1"/>
      <c r="P24" s="1"/>
      <c r="Q24" s="1"/>
      <c r="R24" s="10" t="s">
        <v>32</v>
      </c>
      <c r="S24" s="10" t="s">
        <v>32</v>
      </c>
      <c r="T24" s="1"/>
      <c r="U24" s="1"/>
      <c r="V24" s="1"/>
    </row>
    <row r="25" spans="1:22">
      <c r="A25" t="s">
        <v>33</v>
      </c>
      <c r="B25" t="s">
        <v>57</v>
      </c>
      <c r="C25" t="s">
        <v>64</v>
      </c>
      <c r="D25" s="5">
        <v>46328</v>
      </c>
      <c r="E25" s="5">
        <v>46339</v>
      </c>
      <c r="F25" s="4">
        <f t="shared" si="0"/>
        <v>12</v>
      </c>
      <c r="G25" s="9">
        <v>1.3</v>
      </c>
      <c r="H25" t="s">
        <v>67</v>
      </c>
      <c r="I25" s="4" t="s">
        <v>12</v>
      </c>
      <c r="K25" s="1"/>
      <c r="L25" s="1"/>
      <c r="M25" s="1"/>
      <c r="N25" s="1"/>
      <c r="O25" s="1"/>
      <c r="P25" s="1"/>
      <c r="Q25" s="1"/>
      <c r="R25" s="1"/>
      <c r="S25" s="1"/>
      <c r="T25" s="10">
        <v>1.4</v>
      </c>
      <c r="U25" s="10">
        <v>1.4</v>
      </c>
      <c r="V25" s="1"/>
    </row>
    <row r="26" spans="1:22">
      <c r="A26" t="s">
        <v>34</v>
      </c>
      <c r="B26" t="s">
        <v>58</v>
      </c>
      <c r="C26" t="s">
        <v>64</v>
      </c>
      <c r="D26" s="5">
        <v>46328</v>
      </c>
      <c r="E26" s="5">
        <v>46332</v>
      </c>
      <c r="F26" s="4">
        <f t="shared" si="0"/>
        <v>5</v>
      </c>
      <c r="G26" s="9" t="s">
        <v>32</v>
      </c>
      <c r="H26" t="s">
        <v>11</v>
      </c>
      <c r="I26" s="4" t="s">
        <v>12</v>
      </c>
      <c r="K26" s="1"/>
      <c r="L26" s="1"/>
      <c r="M26" s="1"/>
      <c r="N26" s="1"/>
      <c r="O26" s="1"/>
      <c r="P26" s="1"/>
      <c r="Q26" s="1"/>
      <c r="R26" s="1"/>
      <c r="S26" s="1"/>
      <c r="T26" s="10" t="s">
        <v>34</v>
      </c>
      <c r="U26" s="1"/>
      <c r="V26" s="1"/>
    </row>
    <row r="27" spans="1:22">
      <c r="A27" t="s">
        <v>35</v>
      </c>
      <c r="B27" t="s">
        <v>59</v>
      </c>
      <c r="C27" t="s">
        <v>65</v>
      </c>
      <c r="D27" s="5">
        <v>46335</v>
      </c>
      <c r="E27" s="5">
        <v>46339</v>
      </c>
      <c r="F27" s="4">
        <f t="shared" si="0"/>
        <v>5</v>
      </c>
      <c r="G27" s="9" t="s">
        <v>34</v>
      </c>
      <c r="H27" t="s">
        <v>11</v>
      </c>
      <c r="I27" s="4" t="s">
        <v>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0" t="s">
        <v>35</v>
      </c>
      <c r="V27" s="1"/>
    </row>
    <row r="28" spans="1:22">
      <c r="A28" t="s">
        <v>36</v>
      </c>
      <c r="B28" t="s">
        <v>60</v>
      </c>
      <c r="C28" t="s">
        <v>61</v>
      </c>
      <c r="D28" s="5">
        <v>46342</v>
      </c>
      <c r="E28" s="5">
        <v>46346</v>
      </c>
      <c r="F28" s="4">
        <f t="shared" si="0"/>
        <v>5</v>
      </c>
      <c r="G28" s="9" t="s">
        <v>35</v>
      </c>
      <c r="H28" t="s">
        <v>67</v>
      </c>
      <c r="I28" s="4" t="s">
        <v>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0">
        <v>1.5</v>
      </c>
    </row>
  </sheetData>
  <mergeCells count="2">
    <mergeCell ref="A1:V1"/>
    <mergeCell ref="A2:V2"/>
  </mergeCells>
  <conditionalFormatting sqref="K5:V19">
    <cfRule type="expression" dxfId="0" priority="1">
      <formula>AND(K$4&lt;=$E5,K$4+6&gt;=$D5)</formula>
    </cfRule>
  </conditionalFormatting>
  <dataValidations count="2">
    <dataValidation type="list" sqref="H5:H28" xr:uid="{00000000-0002-0000-0000-000000000000}">
      <formula1>"Sí,No"</formula1>
    </dataValidation>
    <dataValidation type="list" sqref="I5:I28" xr:uid="{00000000-0002-0000-0000-000001000000}">
      <formula1>"No iniciada,En progreso,Bloqueada,En revisión,Terminada"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ROMERO RAYAS, ANDREW ALEXIS</cp:lastModifiedBy>
  <dcterms:modified xsi:type="dcterms:W3CDTF">2026-09-18T02:25:10Z</dcterms:modified>
</cp:coreProperties>
</file>